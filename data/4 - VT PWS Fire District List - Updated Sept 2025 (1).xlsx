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rpcvt.sharepoint.com/sites/Staff/Shared Documents/_Programs/Regional Planning/Regional Planning/02 - Projects/2025/Bond Bank Municipal Water Supply/3 - Resources/1- sent in email on 9 24 25/"/>
    </mc:Choice>
  </mc:AlternateContent>
  <xr:revisionPtr revIDLastSave="2" documentId="13_ncr:1_{9902345D-A2F2-D444-A16A-7053D354F419}" xr6:coauthVersionLast="47" xr6:coauthVersionMax="47" xr10:uidLastSave="{3678B125-6B43-4A7F-AABA-ABD40C2B78C2}"/>
  <bookViews>
    <workbookView xWindow="-28920" yWindow="-90" windowWidth="29040" windowHeight="15720" xr2:uid="{7D309364-7503-475C-BEF3-F0D11A89C9E7}"/>
  </bookViews>
  <sheets>
    <sheet name="Water" sheetId="1" r:id="rId1"/>
    <sheet name="W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<sst xmlns="http://schemas.openxmlformats.org/spreadsheetml/2006/main" count="534" uniqueCount="297">
  <si>
    <t>Type</t>
  </si>
  <si>
    <t>System Name</t>
  </si>
  <si>
    <t>System Town</t>
  </si>
  <si>
    <t>Pop Served</t>
  </si>
  <si>
    <t>Services</t>
  </si>
  <si>
    <t>FD</t>
  </si>
  <si>
    <t>Alburgh Fire District 1</t>
  </si>
  <si>
    <t>Alburgh</t>
  </si>
  <si>
    <t>Water</t>
  </si>
  <si>
    <t>South Alburgh Fire District 2</t>
  </si>
  <si>
    <t>Bakersfield Fire District 1</t>
  </si>
  <si>
    <t>Bakersfield</t>
  </si>
  <si>
    <t>Barnet Fire District 2</t>
  </si>
  <si>
    <t>Barnet</t>
  </si>
  <si>
    <t>McIndoe Falls Fire District 3</t>
  </si>
  <si>
    <t>Passumpsic Fire District 1</t>
  </si>
  <si>
    <t>Graniteville Fire District 4</t>
  </si>
  <si>
    <t>Barre Town</t>
  </si>
  <si>
    <t>East Berkshire Fire District 1</t>
  </si>
  <si>
    <t>Berkshire</t>
  </si>
  <si>
    <t>Brandon Fire District 1</t>
  </si>
  <si>
    <t>Brandon</t>
  </si>
  <si>
    <t>Burke Fire District 1</t>
  </si>
  <si>
    <t>Burke</t>
  </si>
  <si>
    <t>East Calais Fire District 1</t>
  </si>
  <si>
    <t>Calais</t>
  </si>
  <si>
    <t>Canaan Fire District 2</t>
  </si>
  <si>
    <t>Canaan</t>
  </si>
  <si>
    <t>Canaan Fire District 1</t>
  </si>
  <si>
    <t>Castleton Fire District 1</t>
  </si>
  <si>
    <t>Castleton</t>
  </si>
  <si>
    <t>Castleton Fire District 3</t>
  </si>
  <si>
    <t>Colchester Fire District 2</t>
  </si>
  <si>
    <t>Colchester</t>
  </si>
  <si>
    <t>Coventry Fire District 1</t>
  </si>
  <si>
    <t>Coventry</t>
  </si>
  <si>
    <t>Craftsbury Fire District 2</t>
  </si>
  <si>
    <t>Craftsbury</t>
  </si>
  <si>
    <t>Danby Mount Tabor Fire District 1</t>
  </si>
  <si>
    <t>Danby</t>
  </si>
  <si>
    <t>Danville Fire District 1</t>
  </si>
  <si>
    <t>Danville</t>
  </si>
  <si>
    <t>Dorset Fire District 1</t>
  </si>
  <si>
    <t>Dorset</t>
  </si>
  <si>
    <t>East Dorset Fire District 1</t>
  </si>
  <si>
    <t>Fairfax Fire District 1</t>
  </si>
  <si>
    <t>Fairfax</t>
  </si>
  <si>
    <t>East Fairfield Fire District 1</t>
  </si>
  <si>
    <t>Fairfield</t>
  </si>
  <si>
    <t>Fairfield Fire District 2</t>
  </si>
  <si>
    <t>South Georgia Fire District</t>
  </si>
  <si>
    <t>Georgia</t>
  </si>
  <si>
    <t>Grand Isle Fire District 4</t>
  </si>
  <si>
    <t>Grand Isle</t>
  </si>
  <si>
    <t>Greensboro Bend Fire District 2</t>
  </si>
  <si>
    <t>Greensboro</t>
  </si>
  <si>
    <t>Greensboro Fire District 1</t>
  </si>
  <si>
    <t>East Hardwick Fire District 1</t>
  </si>
  <si>
    <t>Hardwick</t>
  </si>
  <si>
    <t>Highgate Fire District 1</t>
  </si>
  <si>
    <t>Highgate</t>
  </si>
  <si>
    <t>Huntington Fire District 1</t>
  </si>
  <si>
    <t>Huntington</t>
  </si>
  <si>
    <t>Hyde Park Fire District 1</t>
  </si>
  <si>
    <t>Hyde Park</t>
  </si>
  <si>
    <t>Irasburg Fire District 1</t>
  </si>
  <si>
    <t>Irasburg</t>
  </si>
  <si>
    <t>Jericho Fire District 1</t>
  </si>
  <si>
    <t>Jericho</t>
  </si>
  <si>
    <t>Lunenburg Fire District 1</t>
  </si>
  <si>
    <t>Lunenburg</t>
  </si>
  <si>
    <t>FD-both</t>
  </si>
  <si>
    <t>Lunenburg Fire District 2</t>
  </si>
  <si>
    <t>Water &amp; WW</t>
  </si>
  <si>
    <t>Lyn Haven Fire District 1</t>
  </si>
  <si>
    <t>Lyndon</t>
  </si>
  <si>
    <t>East Middlebury Fire District 1</t>
  </si>
  <si>
    <t>Middlebury</t>
  </si>
  <si>
    <t>Norwich Fire District 1</t>
  </si>
  <si>
    <t>Norwich</t>
  </si>
  <si>
    <t>Peacham Fire District 1</t>
  </si>
  <si>
    <t>Peacham</t>
  </si>
  <si>
    <t>Pownal Fire District 2</t>
  </si>
  <si>
    <t>Pownal</t>
  </si>
  <si>
    <t>Pownal Fire District 3</t>
  </si>
  <si>
    <t>Richmond Fire District 1</t>
  </si>
  <si>
    <t>Richmond</t>
  </si>
  <si>
    <t>Royalton Fire District 1</t>
  </si>
  <si>
    <t>Royalton</t>
  </si>
  <si>
    <t>Rutland Town Fire District 5</t>
  </si>
  <si>
    <t>Rutland Town</t>
  </si>
  <si>
    <t>Rutland Town Fire District 1</t>
  </si>
  <si>
    <t>Rutland Town Fire District 11</t>
  </si>
  <si>
    <t>Rutland Town Fire District 4</t>
  </si>
  <si>
    <t>Rutland Town Fire District 6</t>
  </si>
  <si>
    <t>Ryegate Fire District 2</t>
  </si>
  <si>
    <t>Ryegate</t>
  </si>
  <si>
    <t>Sheffield Fire District 1</t>
  </si>
  <si>
    <t>Sheffield</t>
  </si>
  <si>
    <t>Cuttingsville Fire District</t>
  </si>
  <si>
    <t>Shrewsbury</t>
  </si>
  <si>
    <t>South Burlington Fire District</t>
  </si>
  <si>
    <t>South Burlington</t>
  </si>
  <si>
    <t>South Hero Fire District 4</t>
  </si>
  <si>
    <t>South Hero</t>
  </si>
  <si>
    <t>St George Fire District 1</t>
  </si>
  <si>
    <t>St George</t>
  </si>
  <si>
    <t>St George Fire District 2</t>
  </si>
  <si>
    <t>St Johnsbury Center Fire District 1</t>
  </si>
  <si>
    <t>St Johnsbury</t>
  </si>
  <si>
    <t>Stowe Fire District 2 Gold Brook Circle</t>
  </si>
  <si>
    <t>Stowe</t>
  </si>
  <si>
    <t>Stowe Fire District 4</t>
  </si>
  <si>
    <t>Winhall-Stratton Fire District 1</t>
  </si>
  <si>
    <t>Stratton</t>
  </si>
  <si>
    <t>Wallingford Fire District 1</t>
  </si>
  <si>
    <t>Wallingford</t>
  </si>
  <si>
    <t>Washington Fire District</t>
  </si>
  <si>
    <t>Washington</t>
  </si>
  <si>
    <t>Waterville Fire District 1</t>
  </si>
  <si>
    <t>Waterville</t>
  </si>
  <si>
    <t>Ascutney Fire District 2</t>
  </si>
  <si>
    <t>Weathersfield</t>
  </si>
  <si>
    <t>Westfield Fire District 1</t>
  </si>
  <si>
    <t>Westfield</t>
  </si>
  <si>
    <t>Westford Fire District 1</t>
  </si>
  <si>
    <t>Westford</t>
  </si>
  <si>
    <t>Wheelock Fire District 1</t>
  </si>
  <si>
    <t>Wheelock</t>
  </si>
  <si>
    <t>Williston Fire District 1</t>
  </si>
  <si>
    <t>Williston</t>
  </si>
  <si>
    <t xml:space="preserve">Cold Brook Fire District 1 </t>
  </si>
  <si>
    <t>Wilmington</t>
  </si>
  <si>
    <t>Worcester Fire District 1</t>
  </si>
  <si>
    <t>Worcester</t>
  </si>
  <si>
    <t>Water Dist.</t>
  </si>
  <si>
    <t>Champlain Water District (S Burlington)</t>
  </si>
  <si>
    <t>Derby Line Village Water District</t>
  </si>
  <si>
    <t>Elmore Water District</t>
  </si>
  <si>
    <t>Grand Isle Consolidated Water District</t>
  </si>
  <si>
    <t>Tri Town Water District (Bridport)</t>
  </si>
  <si>
    <t>Vergennes Panton Water District</t>
  </si>
  <si>
    <t>Wilmington Water District</t>
  </si>
  <si>
    <t>FD?</t>
  </si>
  <si>
    <t xml:space="preserve">Cold Brook Fire District Base Area </t>
  </si>
  <si>
    <t>System Type</t>
  </si>
  <si>
    <t>Membership</t>
  </si>
  <si>
    <t>Permit Type</t>
  </si>
  <si>
    <t>PERMIT</t>
  </si>
  <si>
    <t>NPDES</t>
  </si>
  <si>
    <t>System</t>
  </si>
  <si>
    <t>Town</t>
  </si>
  <si>
    <t>Ownership</t>
  </si>
  <si>
    <t>DO mailing</t>
  </si>
  <si>
    <t>DO CITY</t>
  </si>
  <si>
    <t>DO STATE</t>
  </si>
  <si>
    <t>DO ZIP</t>
  </si>
  <si>
    <t>DO PHONE</t>
  </si>
  <si>
    <t>DO</t>
  </si>
  <si>
    <t>do title</t>
  </si>
  <si>
    <t>DO EMAIL</t>
  </si>
  <si>
    <t>AC</t>
  </si>
  <si>
    <t>ac title</t>
  </si>
  <si>
    <t>AC ADDR1</t>
  </si>
  <si>
    <t>AC ADDR2</t>
  </si>
  <si>
    <t>AC CITY</t>
  </si>
  <si>
    <t>AC STATE</t>
  </si>
  <si>
    <t>AC ZIP</t>
  </si>
  <si>
    <t>AC PHONE</t>
  </si>
  <si>
    <t>ac email</t>
  </si>
  <si>
    <t>ww classification</t>
  </si>
  <si>
    <t>ww capacity</t>
  </si>
  <si>
    <t>ww treatment type</t>
  </si>
  <si>
    <t>ww ownership</t>
  </si>
  <si>
    <t>ww op req?</t>
  </si>
  <si>
    <t>VRWA SYS NAME</t>
  </si>
  <si>
    <t>VRWA SYS</t>
  </si>
  <si>
    <t>VRWA WW CONNECTIONS</t>
  </si>
  <si>
    <t>TOWN POP</t>
  </si>
  <si>
    <t>VRWA NOTES</t>
  </si>
  <si>
    <t>VRWA SYS TYPE</t>
  </si>
  <si>
    <t>VRWA POP SRVD</t>
  </si>
  <si>
    <t>w/ww</t>
  </si>
  <si>
    <t>CWS/WW</t>
  </si>
  <si>
    <t>Direct</t>
  </si>
  <si>
    <t>3-1296</t>
  </si>
  <si>
    <t>VT0101214</t>
  </si>
  <si>
    <t>Cold Brook FD 1 - Direct Discharge</t>
  </si>
  <si>
    <t xml:space="preserve">Cold Brook </t>
  </si>
  <si>
    <t>Municipal</t>
  </si>
  <si>
    <t>18 Coldbrook Road Unit 1</t>
  </si>
  <si>
    <t>VT</t>
  </si>
  <si>
    <t>(802) 464-0460</t>
  </si>
  <si>
    <t>Steven G Bartlett</t>
  </si>
  <si>
    <t>WW Chief Operator</t>
  </si>
  <si>
    <t>coldbrookfd1@gmail.com</t>
  </si>
  <si>
    <t>Roberta   Carey</t>
  </si>
  <si>
    <t>Authorized Representative</t>
  </si>
  <si>
    <t>400 Route 100 North</t>
  </si>
  <si>
    <t>2DM - 2 Domestic</t>
  </si>
  <si>
    <t>AL - Aerated Lagoon</t>
  </si>
  <si>
    <t>Y</t>
  </si>
  <si>
    <t>will upgrade to combined next year</t>
  </si>
  <si>
    <t>3-1140</t>
  </si>
  <si>
    <t>VT0101061</t>
  </si>
  <si>
    <t>Lunenburg FD2</t>
  </si>
  <si>
    <t xml:space="preserve">Lunenburg </t>
  </si>
  <si>
    <t>PO Box 167</t>
  </si>
  <si>
    <t>Lyndonville</t>
  </si>
  <si>
    <t>(802) 626-5939</t>
  </si>
  <si>
    <t>Rodger G Sheldon</t>
  </si>
  <si>
    <t>Rodger.sheldon@utilitypartnersllc.com</t>
  </si>
  <si>
    <t>Merlin (Buddy) Ball</t>
  </si>
  <si>
    <t>Operations Manager</t>
  </si>
  <si>
    <t>PO Box 148</t>
  </si>
  <si>
    <t>Gilman</t>
  </si>
  <si>
    <t>(802) 892-7780</t>
  </si>
  <si>
    <t>lfdz2@myfairpoint.net</t>
  </si>
  <si>
    <t>1DM - 1 Domestic</t>
  </si>
  <si>
    <t>Lunenburg FD #2 Wastewater</t>
  </si>
  <si>
    <t/>
  </si>
  <si>
    <t>WW</t>
  </si>
  <si>
    <t>ww</t>
  </si>
  <si>
    <t>Indirect</t>
  </si>
  <si>
    <t>9-0074</t>
  </si>
  <si>
    <t>North Branch Fire District #1</t>
  </si>
  <si>
    <t>Dover</t>
  </si>
  <si>
    <t>nbfd@myfairpoint.net</t>
  </si>
  <si>
    <t>Bart Howes</t>
  </si>
  <si>
    <t>78 Dorr Fitch Road</t>
  </si>
  <si>
    <t>West Dover</t>
  </si>
  <si>
    <t>North Branch Fire District # 1</t>
  </si>
  <si>
    <t>Wastewater Treatment &amp; Collection</t>
  </si>
  <si>
    <t>said they would upgrade (haven't paid)</t>
  </si>
  <si>
    <t>3-1382</t>
  </si>
  <si>
    <t>VT0100951</t>
  </si>
  <si>
    <t xml:space="preserve">Ryegate </t>
  </si>
  <si>
    <t>Brian Craig</t>
  </si>
  <si>
    <t>wrfdk1@charter.net</t>
  </si>
  <si>
    <t>Hoyt M Darby</t>
  </si>
  <si>
    <t>PO Box 48</t>
  </si>
  <si>
    <t>East Ryegate</t>
  </si>
  <si>
    <t>(802) 757-3983</t>
  </si>
  <si>
    <t>rfdist2@gmail.com</t>
  </si>
  <si>
    <t>ST/SF - Septic Tanks and Recirculating Sand Filter</t>
  </si>
  <si>
    <t>3-1243</t>
  </si>
  <si>
    <t>VT0101141</t>
  </si>
  <si>
    <t>Sherburne FD 1</t>
  </si>
  <si>
    <t>Sherburne</t>
  </si>
  <si>
    <t>PO Box 429</t>
  </si>
  <si>
    <t>Killington</t>
  </si>
  <si>
    <t>(802) 422-3831</t>
  </si>
  <si>
    <t>Daniel   Lewis</t>
  </si>
  <si>
    <t>sherburnewastewater@yahoo.com</t>
  </si>
  <si>
    <t>David   Lewis</t>
  </si>
  <si>
    <t>District Manager</t>
  </si>
  <si>
    <t>(802) 422-3241</t>
  </si>
  <si>
    <t>ddmgj@comcast.net   </t>
  </si>
  <si>
    <t>RBC - Rotating Biological Contactor</t>
  </si>
  <si>
    <t>Sherburne FD #1</t>
  </si>
  <si>
    <t>Most likely letting 2016 dues lapse because they are strapped. See Wayne's email.</t>
  </si>
  <si>
    <t>3-0365</t>
  </si>
  <si>
    <t>VT0100552</t>
  </si>
  <si>
    <t>Wallingford FD 1</t>
  </si>
  <si>
    <t xml:space="preserve">Wallingford </t>
  </si>
  <si>
    <t>Christopher Hayes</t>
  </si>
  <si>
    <t>chayes@simonop.com</t>
  </si>
  <si>
    <t>Maureen   Duchesene</t>
  </si>
  <si>
    <t>PO Box 87</t>
  </si>
  <si>
    <t>(802) 446-2964</t>
  </si>
  <si>
    <t>wallfired1@vermontel.net</t>
  </si>
  <si>
    <t>EA - Extended Aeration</t>
  </si>
  <si>
    <t>9-0236</t>
  </si>
  <si>
    <t>Westford Fire District #1</t>
  </si>
  <si>
    <t xml:space="preserve">Westford </t>
  </si>
  <si>
    <t>jtluisi@gmail.com</t>
  </si>
  <si>
    <t>James Luisi</t>
  </si>
  <si>
    <t>PO Box 103</t>
  </si>
  <si>
    <t>9-0019</t>
  </si>
  <si>
    <t>Winhall-Stratton FD1</t>
  </si>
  <si>
    <t xml:space="preserve">Winhall, Stratton </t>
  </si>
  <si>
    <t>mdwyer@stratton.com</t>
  </si>
  <si>
    <t>Margaret Dwyer</t>
  </si>
  <si>
    <t>PO Box 611</t>
  </si>
  <si>
    <t>Stratton Mtn</t>
  </si>
  <si>
    <t>Winhall-Stratton FD Wastewater</t>
  </si>
  <si>
    <t>CWS</t>
  </si>
  <si>
    <t>3-0324</t>
  </si>
  <si>
    <t>VT0000884</t>
  </si>
  <si>
    <t>Worcester FD 1</t>
  </si>
  <si>
    <t>Will   Sutton</t>
  </si>
  <si>
    <t>Chief Fire &amp; Rescue Dept</t>
  </si>
  <si>
    <t>PO Box 105</t>
  </si>
  <si>
    <t>(802) 223-5633</t>
  </si>
  <si>
    <t>NR - Not Required</t>
  </si>
  <si>
    <t>HT - Holding/Settling Tanks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</si>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</sst>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4" fillId="4" borderId="0" xfId="0" applyFont="1" applyFill="1"/>
    <xf numFmtId="0" fontId="0" fillId="4" borderId="0" xfId="0" applyFill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6750-F046-4829-B5A1-FEEC6FEFA82A}">
  <dimension ref="A1:E82"/>
  <sheetViews>
    <sheetView tabSelected="1" workbookViewId="0">
      <selection activeCell="I10" sqref="I10"/>
    </sheetView>
  </sheetViews>
  <sheetFormatPr defaultColWidth="8.88671875" defaultRowHeight="14.4" x14ac:dyDescent="0.3"/>
  <cols>
    <col min="1" max="1" width="11" customWidth="1"/>
    <col min="2" max="2" width="31.44140625" bestFit="1" customWidth="1"/>
    <col min="3" max="3" width="14.33203125" customWidth="1"/>
    <col min="4" max="4" width="11.109375" customWidth="1"/>
    <col min="5" max="5" width="10" bestFit="1" customWidth="1"/>
  </cols>
  <sheetData>
    <row r="1" spans="1:5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3">
      <c r="A2" t="s">
        <v>5</v>
      </c>
      <c r="B2" s="1" t="s">
        <v>6</v>
      </c>
      <c r="C2" s="1" t="s">
        <v>7</v>
      </c>
      <c r="D2" s="2">
        <v>87</v>
      </c>
      <c r="E2" t="s">
        <v>8</v>
      </c>
    </row>
    <row r="3" spans="1:5" x14ac:dyDescent="0.3">
      <c r="A3" t="s">
        <v>5</v>
      </c>
      <c r="B3" s="1" t="s">
        <v>9</v>
      </c>
      <c r="C3" s="1" t="s">
        <v>7</v>
      </c>
      <c r="D3" s="2">
        <v>300</v>
      </c>
      <c r="E3" t="s">
        <v>8</v>
      </c>
    </row>
    <row r="4" spans="1:5" x14ac:dyDescent="0.3">
      <c r="A4" t="s">
        <v>5</v>
      </c>
      <c r="B4" s="1" t="s">
        <v>10</v>
      </c>
      <c r="C4" s="1" t="s">
        <v>11</v>
      </c>
      <c r="D4" s="2">
        <v>446</v>
      </c>
      <c r="E4" t="s">
        <v>8</v>
      </c>
    </row>
    <row r="5" spans="1:5" x14ac:dyDescent="0.3">
      <c r="A5" t="s">
        <v>5</v>
      </c>
      <c r="B5" s="1" t="s">
        <v>12</v>
      </c>
      <c r="C5" s="1" t="s">
        <v>13</v>
      </c>
      <c r="D5" s="2">
        <v>205</v>
      </c>
      <c r="E5" t="s">
        <v>8</v>
      </c>
    </row>
    <row r="6" spans="1:5" x14ac:dyDescent="0.3">
      <c r="A6" t="s">
        <v>5</v>
      </c>
      <c r="B6" s="1" t="s">
        <v>14</v>
      </c>
      <c r="C6" s="1" t="s">
        <v>13</v>
      </c>
      <c r="D6" s="2">
        <v>176</v>
      </c>
      <c r="E6" t="s">
        <v>8</v>
      </c>
    </row>
    <row r="7" spans="1:5" x14ac:dyDescent="0.3">
      <c r="A7" t="s">
        <v>5</v>
      </c>
      <c r="B7" s="1" t="s">
        <v>15</v>
      </c>
      <c r="C7" s="1" t="s">
        <v>13</v>
      </c>
      <c r="D7" s="2">
        <v>140</v>
      </c>
      <c r="E7" t="s">
        <v>8</v>
      </c>
    </row>
    <row r="8" spans="1:5" x14ac:dyDescent="0.3">
      <c r="A8" t="s">
        <v>5</v>
      </c>
      <c r="B8" s="1" t="s">
        <v>16</v>
      </c>
      <c r="C8" s="1" t="s">
        <v>17</v>
      </c>
      <c r="D8" s="2">
        <v>700</v>
      </c>
      <c r="E8" t="s">
        <v>8</v>
      </c>
    </row>
    <row r="9" spans="1:5" x14ac:dyDescent="0.3">
      <c r="A9" t="s">
        <v>5</v>
      </c>
      <c r="B9" s="1" t="s">
        <v>18</v>
      </c>
      <c r="C9" s="1" t="s">
        <v>19</v>
      </c>
      <c r="D9" s="2">
        <v>184</v>
      </c>
      <c r="E9" t="s">
        <v>8</v>
      </c>
    </row>
    <row r="10" spans="1:5" x14ac:dyDescent="0.3">
      <c r="A10" t="s">
        <v>5</v>
      </c>
      <c r="B10" s="1" t="s">
        <v>20</v>
      </c>
      <c r="C10" s="1" t="s">
        <v>21</v>
      </c>
      <c r="D10" s="2">
        <v>3963</v>
      </c>
      <c r="E10" t="s">
        <v>8</v>
      </c>
    </row>
    <row r="11" spans="1:5" x14ac:dyDescent="0.3">
      <c r="A11" t="s">
        <v>5</v>
      </c>
      <c r="B11" s="1" t="s">
        <v>22</v>
      </c>
      <c r="C11" s="1" t="s">
        <v>23</v>
      </c>
      <c r="D11" s="2">
        <v>142</v>
      </c>
      <c r="E11" t="s">
        <v>8</v>
      </c>
    </row>
    <row r="12" spans="1:5" x14ac:dyDescent="0.3">
      <c r="A12" t="s">
        <v>5</v>
      </c>
      <c r="B12" s="1" t="s">
        <v>24</v>
      </c>
      <c r="C12" s="1" t="s">
        <v>25</v>
      </c>
      <c r="D12" s="2">
        <v>200</v>
      </c>
      <c r="E12" t="s">
        <v>8</v>
      </c>
    </row>
    <row r="13" spans="1:5" x14ac:dyDescent="0.3">
      <c r="A13" t="s">
        <v>5</v>
      </c>
      <c r="B13" s="1" t="s">
        <v>26</v>
      </c>
      <c r="C13" s="1" t="s">
        <v>27</v>
      </c>
      <c r="D13" s="2">
        <v>350</v>
      </c>
      <c r="E13" t="s">
        <v>8</v>
      </c>
    </row>
    <row r="14" spans="1:5" x14ac:dyDescent="0.3">
      <c r="A14" t="s">
        <v>5</v>
      </c>
      <c r="B14" s="1" t="s">
        <v>28</v>
      </c>
      <c r="C14" s="1" t="s">
        <v>27</v>
      </c>
      <c r="D14" s="2">
        <v>970</v>
      </c>
      <c r="E14" t="s">
        <v>8</v>
      </c>
    </row>
    <row r="15" spans="1:5" x14ac:dyDescent="0.3">
      <c r="A15" t="s">
        <v>5</v>
      </c>
      <c r="B15" s="1" t="s">
        <v>29</v>
      </c>
      <c r="C15" s="1" t="s">
        <v>30</v>
      </c>
      <c r="D15" s="2">
        <v>1940</v>
      </c>
      <c r="E15" t="s">
        <v>8</v>
      </c>
    </row>
    <row r="16" spans="1:5" x14ac:dyDescent="0.3">
      <c r="A16" t="s">
        <v>5</v>
      </c>
      <c r="B16" s="1" t="s">
        <v>31</v>
      </c>
      <c r="C16" s="1" t="s">
        <v>30</v>
      </c>
      <c r="D16" s="2">
        <v>500</v>
      </c>
      <c r="E16" t="s">
        <v>8</v>
      </c>
    </row>
    <row r="17" spans="1:5" x14ac:dyDescent="0.3">
      <c r="A17" t="s">
        <v>5</v>
      </c>
      <c r="B17" s="1" t="s">
        <v>32</v>
      </c>
      <c r="C17" s="1" t="s">
        <v>33</v>
      </c>
      <c r="D17" s="2">
        <v>8300</v>
      </c>
      <c r="E17" t="s">
        <v>8</v>
      </c>
    </row>
    <row r="18" spans="1:5" x14ac:dyDescent="0.3">
      <c r="A18" t="s">
        <v>5</v>
      </c>
      <c r="B18" s="1" t="s">
        <v>34</v>
      </c>
      <c r="C18" s="1" t="s">
        <v>35</v>
      </c>
      <c r="D18" s="2">
        <v>251</v>
      </c>
      <c r="E18" t="s">
        <v>8</v>
      </c>
    </row>
    <row r="19" spans="1:5" x14ac:dyDescent="0.3">
      <c r="A19" t="s">
        <v>5</v>
      </c>
      <c r="B19" s="1" t="s">
        <v>36</v>
      </c>
      <c r="C19" s="1" t="s">
        <v>37</v>
      </c>
      <c r="D19" s="2">
        <v>420</v>
      </c>
      <c r="E19" t="s">
        <v>8</v>
      </c>
    </row>
    <row r="20" spans="1:5" x14ac:dyDescent="0.3">
      <c r="A20" t="s">
        <v>5</v>
      </c>
      <c r="B20" s="1" t="s">
        <v>38</v>
      </c>
      <c r="C20" s="1" t="s">
        <v>39</v>
      </c>
      <c r="D20" s="2">
        <v>385</v>
      </c>
      <c r="E20" t="s">
        <v>8</v>
      </c>
    </row>
    <row r="21" spans="1:5" x14ac:dyDescent="0.3">
      <c r="A21" t="s">
        <v>5</v>
      </c>
      <c r="B21" s="1" t="s">
        <v>40</v>
      </c>
      <c r="C21" s="1" t="s">
        <v>41</v>
      </c>
      <c r="D21" s="2">
        <v>500</v>
      </c>
      <c r="E21" t="s">
        <v>8</v>
      </c>
    </row>
    <row r="22" spans="1:5" x14ac:dyDescent="0.3">
      <c r="A22" t="s">
        <v>5</v>
      </c>
      <c r="B22" s="1" t="s">
        <v>42</v>
      </c>
      <c r="C22" s="1" t="s">
        <v>43</v>
      </c>
      <c r="D22" s="2">
        <v>530</v>
      </c>
      <c r="E22" t="s">
        <v>8</v>
      </c>
    </row>
    <row r="23" spans="1:5" x14ac:dyDescent="0.3">
      <c r="A23" t="s">
        <v>5</v>
      </c>
      <c r="B23" s="1" t="s">
        <v>44</v>
      </c>
      <c r="C23" s="1" t="s">
        <v>43</v>
      </c>
      <c r="D23" s="2">
        <v>192</v>
      </c>
      <c r="E23" t="s">
        <v>8</v>
      </c>
    </row>
    <row r="24" spans="1:5" x14ac:dyDescent="0.3">
      <c r="A24" t="s">
        <v>5</v>
      </c>
      <c r="B24" s="1" t="s">
        <v>45</v>
      </c>
      <c r="C24" s="1" t="s">
        <v>46</v>
      </c>
      <c r="D24" s="2">
        <v>80</v>
      </c>
      <c r="E24" t="s">
        <v>8</v>
      </c>
    </row>
    <row r="25" spans="1:5" x14ac:dyDescent="0.3">
      <c r="A25" t="s">
        <v>5</v>
      </c>
      <c r="B25" s="1" t="s">
        <v>47</v>
      </c>
      <c r="C25" s="1" t="s">
        <v>48</v>
      </c>
      <c r="D25" s="2">
        <v>184</v>
      </c>
      <c r="E25" t="s">
        <v>8</v>
      </c>
    </row>
    <row r="26" spans="1:5" x14ac:dyDescent="0.3">
      <c r="A26" t="s">
        <v>5</v>
      </c>
      <c r="B26" s="1" t="s">
        <v>49</v>
      </c>
      <c r="C26" s="1" t="s">
        <v>48</v>
      </c>
      <c r="D26" s="2">
        <v>126</v>
      </c>
      <c r="E26" t="s">
        <v>8</v>
      </c>
    </row>
    <row r="27" spans="1:5" x14ac:dyDescent="0.3">
      <c r="A27" t="s">
        <v>5</v>
      </c>
      <c r="B27" s="1" t="s">
        <v>50</v>
      </c>
      <c r="C27" s="1" t="s">
        <v>51</v>
      </c>
      <c r="D27" s="2">
        <v>500</v>
      </c>
      <c r="E27" t="s">
        <v>8</v>
      </c>
    </row>
    <row r="28" spans="1:5" x14ac:dyDescent="0.3">
      <c r="A28" t="s">
        <v>5</v>
      </c>
      <c r="B28" s="1" t="s">
        <v>52</v>
      </c>
      <c r="C28" s="1" t="s">
        <v>53</v>
      </c>
      <c r="D28" s="2">
        <v>1078</v>
      </c>
      <c r="E28" t="s">
        <v>8</v>
      </c>
    </row>
    <row r="29" spans="1:5" x14ac:dyDescent="0.3">
      <c r="A29" t="s">
        <v>5</v>
      </c>
      <c r="B29" s="1" t="s">
        <v>54</v>
      </c>
      <c r="C29" s="1" t="s">
        <v>55</v>
      </c>
      <c r="D29" s="2">
        <v>71</v>
      </c>
      <c r="E29" t="s">
        <v>8</v>
      </c>
    </row>
    <row r="30" spans="1:5" x14ac:dyDescent="0.3">
      <c r="A30" t="s">
        <v>5</v>
      </c>
      <c r="B30" s="1" t="s">
        <v>56</v>
      </c>
      <c r="C30" s="1" t="s">
        <v>55</v>
      </c>
      <c r="D30" s="2">
        <v>551</v>
      </c>
      <c r="E30" t="s">
        <v>8</v>
      </c>
    </row>
    <row r="31" spans="1:5" x14ac:dyDescent="0.3">
      <c r="A31" t="s">
        <v>5</v>
      </c>
      <c r="B31" s="1" t="s">
        <v>57</v>
      </c>
      <c r="C31" s="1" t="s">
        <v>58</v>
      </c>
      <c r="D31" s="2">
        <v>350</v>
      </c>
      <c r="E31" t="s">
        <v>8</v>
      </c>
    </row>
    <row r="32" spans="1:5" x14ac:dyDescent="0.3">
      <c r="A32" t="s">
        <v>5</v>
      </c>
      <c r="B32" s="1" t="s">
        <v>59</v>
      </c>
      <c r="C32" s="1" t="s">
        <v>60</v>
      </c>
      <c r="D32" s="2">
        <v>280</v>
      </c>
      <c r="E32" t="s">
        <v>8</v>
      </c>
    </row>
    <row r="33" spans="1:5" x14ac:dyDescent="0.3">
      <c r="A33" t="s">
        <v>5</v>
      </c>
      <c r="B33" s="1" t="s">
        <v>61</v>
      </c>
      <c r="C33" s="1" t="s">
        <v>62</v>
      </c>
      <c r="D33" s="2">
        <v>120</v>
      </c>
      <c r="E33" t="s">
        <v>8</v>
      </c>
    </row>
    <row r="34" spans="1:5" x14ac:dyDescent="0.3">
      <c r="A34" t="s">
        <v>5</v>
      </c>
      <c r="B34" s="1" t="s">
        <v>63</v>
      </c>
      <c r="C34" s="1" t="s">
        <v>64</v>
      </c>
      <c r="D34" s="2">
        <v>275</v>
      </c>
      <c r="E34" t="s">
        <v>8</v>
      </c>
    </row>
    <row r="35" spans="1:5" x14ac:dyDescent="0.3">
      <c r="A35" t="s">
        <v>5</v>
      </c>
      <c r="B35" s="1" t="s">
        <v>65</v>
      </c>
      <c r="C35" s="1" t="s">
        <v>66</v>
      </c>
      <c r="D35" s="2">
        <v>200</v>
      </c>
      <c r="E35" t="s">
        <v>8</v>
      </c>
    </row>
    <row r="36" spans="1:5" x14ac:dyDescent="0.3">
      <c r="A36" t="s">
        <v>5</v>
      </c>
      <c r="B36" s="1" t="s">
        <v>67</v>
      </c>
      <c r="C36" s="1" t="s">
        <v>68</v>
      </c>
      <c r="D36" s="2">
        <v>190</v>
      </c>
      <c r="E36" t="s">
        <v>8</v>
      </c>
    </row>
    <row r="37" spans="1:5" x14ac:dyDescent="0.3">
      <c r="A37" t="s">
        <v>5</v>
      </c>
      <c r="B37" s="1" t="s">
        <v>69</v>
      </c>
      <c r="C37" s="1" t="s">
        <v>70</v>
      </c>
      <c r="D37" s="2">
        <v>250</v>
      </c>
      <c r="E37" t="s">
        <v>8</v>
      </c>
    </row>
    <row r="38" spans="1:5" x14ac:dyDescent="0.3">
      <c r="A38" s="18" t="s">
        <v>71</v>
      </c>
      <c r="B38" s="1" t="s">
        <v>72</v>
      </c>
      <c r="C38" s="1" t="s">
        <v>70</v>
      </c>
      <c r="D38" s="2">
        <v>400</v>
      </c>
      <c r="E38" t="s">
        <v>73</v>
      </c>
    </row>
    <row r="39" spans="1:5" x14ac:dyDescent="0.3">
      <c r="A39" t="s">
        <v>5</v>
      </c>
      <c r="B39" s="1" t="s">
        <v>74</v>
      </c>
      <c r="C39" s="1" t="s">
        <v>75</v>
      </c>
      <c r="D39" s="2">
        <v>100</v>
      </c>
      <c r="E39" t="s">
        <v>8</v>
      </c>
    </row>
    <row r="40" spans="1:5" x14ac:dyDescent="0.3">
      <c r="A40" t="s">
        <v>5</v>
      </c>
      <c r="B40" s="1" t="s">
        <v>76</v>
      </c>
      <c r="C40" s="1" t="s">
        <v>77</v>
      </c>
      <c r="D40" s="2">
        <v>642</v>
      </c>
      <c r="E40" t="s">
        <v>8</v>
      </c>
    </row>
    <row r="41" spans="1:5" x14ac:dyDescent="0.3">
      <c r="A41" t="s">
        <v>5</v>
      </c>
      <c r="B41" s="1" t="s">
        <v>78</v>
      </c>
      <c r="C41" s="1" t="s">
        <v>79</v>
      </c>
      <c r="D41" s="2">
        <v>870</v>
      </c>
      <c r="E41" t="s">
        <v>8</v>
      </c>
    </row>
    <row r="42" spans="1:5" x14ac:dyDescent="0.3">
      <c r="A42" t="s">
        <v>5</v>
      </c>
      <c r="B42" s="1" t="s">
        <v>80</v>
      </c>
      <c r="C42" s="1" t="s">
        <v>81</v>
      </c>
      <c r="D42" s="2">
        <v>150</v>
      </c>
      <c r="E42" t="s">
        <v>8</v>
      </c>
    </row>
    <row r="43" spans="1:5" x14ac:dyDescent="0.3">
      <c r="A43" t="s">
        <v>5</v>
      </c>
      <c r="B43" s="1" t="s">
        <v>82</v>
      </c>
      <c r="C43" s="1" t="s">
        <v>83</v>
      </c>
      <c r="D43" s="2">
        <v>682</v>
      </c>
      <c r="E43" t="s">
        <v>8</v>
      </c>
    </row>
    <row r="44" spans="1:5" x14ac:dyDescent="0.3">
      <c r="A44" t="s">
        <v>5</v>
      </c>
      <c r="B44" s="1" t="s">
        <v>84</v>
      </c>
      <c r="C44" s="1" t="s">
        <v>83</v>
      </c>
      <c r="D44" s="2">
        <v>60</v>
      </c>
      <c r="E44" t="s">
        <v>8</v>
      </c>
    </row>
    <row r="45" spans="1:5" x14ac:dyDescent="0.3">
      <c r="A45" t="s">
        <v>5</v>
      </c>
      <c r="B45" s="1" t="s">
        <v>85</v>
      </c>
      <c r="C45" s="1" t="s">
        <v>86</v>
      </c>
      <c r="D45" s="2">
        <v>56</v>
      </c>
      <c r="E45" t="s">
        <v>8</v>
      </c>
    </row>
    <row r="46" spans="1:5" x14ac:dyDescent="0.3">
      <c r="A46" t="s">
        <v>5</v>
      </c>
      <c r="B46" s="1" t="s">
        <v>87</v>
      </c>
      <c r="C46" s="1" t="s">
        <v>88</v>
      </c>
      <c r="D46" s="2">
        <v>1500</v>
      </c>
      <c r="E46" t="s">
        <v>8</v>
      </c>
    </row>
    <row r="47" spans="1:5" x14ac:dyDescent="0.3">
      <c r="A47" t="s">
        <v>5</v>
      </c>
      <c r="B47" s="1" t="s">
        <v>89</v>
      </c>
      <c r="C47" s="1" t="s">
        <v>90</v>
      </c>
      <c r="D47" s="2">
        <v>110</v>
      </c>
      <c r="E47" t="s">
        <v>8</v>
      </c>
    </row>
    <row r="48" spans="1:5" x14ac:dyDescent="0.3">
      <c r="A48" t="s">
        <v>5</v>
      </c>
      <c r="B48" s="1" t="s">
        <v>91</v>
      </c>
      <c r="C48" s="1" t="s">
        <v>90</v>
      </c>
      <c r="D48" s="2">
        <v>401</v>
      </c>
      <c r="E48" t="s">
        <v>8</v>
      </c>
    </row>
    <row r="49" spans="1:5" x14ac:dyDescent="0.3">
      <c r="A49" t="s">
        <v>5</v>
      </c>
      <c r="B49" s="1" t="s">
        <v>92</v>
      </c>
      <c r="C49" s="1" t="s">
        <v>90</v>
      </c>
      <c r="D49" s="2">
        <v>29</v>
      </c>
      <c r="E49" t="s">
        <v>8</v>
      </c>
    </row>
    <row r="50" spans="1:5" x14ac:dyDescent="0.3">
      <c r="A50" t="s">
        <v>5</v>
      </c>
      <c r="B50" s="1" t="s">
        <v>93</v>
      </c>
      <c r="C50" s="1" t="s">
        <v>90</v>
      </c>
      <c r="D50" s="2">
        <v>136</v>
      </c>
      <c r="E50" t="s">
        <v>8</v>
      </c>
    </row>
    <row r="51" spans="1:5" x14ac:dyDescent="0.3">
      <c r="A51" t="s">
        <v>5</v>
      </c>
      <c r="B51" s="1" t="s">
        <v>94</v>
      </c>
      <c r="C51" s="1" t="s">
        <v>90</v>
      </c>
      <c r="D51" s="2">
        <v>137</v>
      </c>
      <c r="E51" t="s">
        <v>8</v>
      </c>
    </row>
    <row r="52" spans="1:5" x14ac:dyDescent="0.3">
      <c r="A52" s="18" t="s">
        <v>71</v>
      </c>
      <c r="B52" s="3" t="s">
        <v>95</v>
      </c>
      <c r="C52" s="1" t="s">
        <v>96</v>
      </c>
      <c r="D52" s="2">
        <v>131</v>
      </c>
      <c r="E52" t="s">
        <v>73</v>
      </c>
    </row>
    <row r="53" spans="1:5" x14ac:dyDescent="0.3">
      <c r="A53" t="s">
        <v>5</v>
      </c>
      <c r="B53" s="1" t="s">
        <v>97</v>
      </c>
      <c r="C53" s="1" t="s">
        <v>98</v>
      </c>
      <c r="D53" s="2">
        <v>50</v>
      </c>
      <c r="E53" t="s">
        <v>8</v>
      </c>
    </row>
    <row r="54" spans="1:5" x14ac:dyDescent="0.3">
      <c r="A54" t="s">
        <v>5</v>
      </c>
      <c r="B54" s="1" t="s">
        <v>99</v>
      </c>
      <c r="C54" s="1" t="s">
        <v>100</v>
      </c>
      <c r="D54" s="2">
        <v>108</v>
      </c>
      <c r="E54" t="s">
        <v>8</v>
      </c>
    </row>
    <row r="55" spans="1:5" x14ac:dyDescent="0.3">
      <c r="A55" t="s">
        <v>5</v>
      </c>
      <c r="B55" s="1" t="s">
        <v>101</v>
      </c>
      <c r="C55" s="1" t="s">
        <v>102</v>
      </c>
      <c r="D55" s="2">
        <v>250</v>
      </c>
      <c r="E55" t="s">
        <v>8</v>
      </c>
    </row>
    <row r="56" spans="1:5" x14ac:dyDescent="0.3">
      <c r="A56" t="s">
        <v>5</v>
      </c>
      <c r="B56" s="1" t="s">
        <v>103</v>
      </c>
      <c r="C56" s="1" t="s">
        <v>104</v>
      </c>
      <c r="D56" s="2">
        <v>760</v>
      </c>
      <c r="E56" t="s">
        <v>8</v>
      </c>
    </row>
    <row r="57" spans="1:5" x14ac:dyDescent="0.3">
      <c r="A57" t="s">
        <v>5</v>
      </c>
      <c r="B57" s="1" t="s">
        <v>105</v>
      </c>
      <c r="C57" s="1" t="s">
        <v>106</v>
      </c>
      <c r="D57" s="2">
        <v>42</v>
      </c>
      <c r="E57" t="s">
        <v>8</v>
      </c>
    </row>
    <row r="58" spans="1:5" x14ac:dyDescent="0.3">
      <c r="A58" t="s">
        <v>5</v>
      </c>
      <c r="B58" s="1" t="s">
        <v>107</v>
      </c>
      <c r="C58" s="1" t="s">
        <v>106</v>
      </c>
      <c r="D58" s="2">
        <v>72</v>
      </c>
      <c r="E58" t="s">
        <v>8</v>
      </c>
    </row>
    <row r="59" spans="1:5" x14ac:dyDescent="0.3">
      <c r="A59" t="s">
        <v>5</v>
      </c>
      <c r="B59" s="1" t="s">
        <v>108</v>
      </c>
      <c r="C59" s="1" t="s">
        <v>109</v>
      </c>
      <c r="D59" s="2">
        <v>370</v>
      </c>
      <c r="E59" t="s">
        <v>8</v>
      </c>
    </row>
    <row r="60" spans="1:5" x14ac:dyDescent="0.3">
      <c r="A60" t="s">
        <v>5</v>
      </c>
      <c r="B60" s="1" t="s">
        <v>110</v>
      </c>
      <c r="C60" s="1" t="s">
        <v>111</v>
      </c>
      <c r="D60" s="2">
        <v>86</v>
      </c>
      <c r="E60" t="s">
        <v>8</v>
      </c>
    </row>
    <row r="61" spans="1:5" x14ac:dyDescent="0.3">
      <c r="A61" t="s">
        <v>5</v>
      </c>
      <c r="B61" s="1" t="s">
        <v>112</v>
      </c>
      <c r="C61" s="1" t="s">
        <v>111</v>
      </c>
      <c r="D61" s="2">
        <v>120</v>
      </c>
      <c r="E61" t="s">
        <v>8</v>
      </c>
    </row>
    <row r="62" spans="1:5" x14ac:dyDescent="0.3">
      <c r="A62" s="18" t="s">
        <v>71</v>
      </c>
      <c r="B62" s="1" t="s">
        <v>113</v>
      </c>
      <c r="C62" s="1" t="s">
        <v>114</v>
      </c>
      <c r="D62" s="2">
        <v>6200</v>
      </c>
      <c r="E62" t="s">
        <v>73</v>
      </c>
    </row>
    <row r="63" spans="1:5" x14ac:dyDescent="0.3">
      <c r="A63" s="18" t="s">
        <v>71</v>
      </c>
      <c r="B63" s="3" t="s">
        <v>115</v>
      </c>
      <c r="C63" s="1" t="s">
        <v>116</v>
      </c>
      <c r="D63" s="2">
        <v>956</v>
      </c>
      <c r="E63" t="s">
        <v>73</v>
      </c>
    </row>
    <row r="64" spans="1:5" x14ac:dyDescent="0.3">
      <c r="A64" t="s">
        <v>5</v>
      </c>
      <c r="B64" s="1" t="s">
        <v>117</v>
      </c>
      <c r="C64" s="1" t="s">
        <v>118</v>
      </c>
      <c r="D64" s="2">
        <v>170</v>
      </c>
      <c r="E64" t="s">
        <v>8</v>
      </c>
    </row>
    <row r="65" spans="1:5" x14ac:dyDescent="0.3">
      <c r="A65" t="s">
        <v>5</v>
      </c>
      <c r="B65" s="1" t="s">
        <v>119</v>
      </c>
      <c r="C65" s="1" t="s">
        <v>120</v>
      </c>
      <c r="D65" s="2">
        <v>84</v>
      </c>
      <c r="E65" t="s">
        <v>8</v>
      </c>
    </row>
    <row r="66" spans="1:5" x14ac:dyDescent="0.3">
      <c r="A66" t="s">
        <v>5</v>
      </c>
      <c r="B66" s="1" t="s">
        <v>121</v>
      </c>
      <c r="C66" s="1" t="s">
        <v>122</v>
      </c>
      <c r="D66" s="2">
        <v>485</v>
      </c>
      <c r="E66" t="s">
        <v>8</v>
      </c>
    </row>
    <row r="67" spans="1:5" x14ac:dyDescent="0.3">
      <c r="A67" t="s">
        <v>5</v>
      </c>
      <c r="B67" s="1" t="s">
        <v>123</v>
      </c>
      <c r="C67" s="1" t="s">
        <v>124</v>
      </c>
      <c r="D67" s="2">
        <v>120</v>
      </c>
      <c r="E67" t="s">
        <v>8</v>
      </c>
    </row>
    <row r="68" spans="1:5" x14ac:dyDescent="0.3">
      <c r="A68" s="18" t="s">
        <v>71</v>
      </c>
      <c r="B68" s="4" t="s">
        <v>125</v>
      </c>
      <c r="C68" s="1" t="s">
        <v>126</v>
      </c>
      <c r="D68" s="2">
        <v>50</v>
      </c>
      <c r="E68" t="s">
        <v>73</v>
      </c>
    </row>
    <row r="69" spans="1:5" x14ac:dyDescent="0.3">
      <c r="A69" t="s">
        <v>5</v>
      </c>
      <c r="B69" s="1" t="s">
        <v>127</v>
      </c>
      <c r="C69" s="1" t="s">
        <v>128</v>
      </c>
      <c r="D69" s="2">
        <v>50</v>
      </c>
      <c r="E69" t="s">
        <v>8</v>
      </c>
    </row>
    <row r="70" spans="1:5" x14ac:dyDescent="0.3">
      <c r="A70" t="s">
        <v>5</v>
      </c>
      <c r="B70" s="1" t="s">
        <v>129</v>
      </c>
      <c r="C70" s="1" t="s">
        <v>130</v>
      </c>
      <c r="D70" s="2">
        <v>212</v>
      </c>
      <c r="E70" t="s">
        <v>8</v>
      </c>
    </row>
    <row r="71" spans="1:5" x14ac:dyDescent="0.3">
      <c r="A71" s="18" t="s">
        <v>71</v>
      </c>
      <c r="B71" s="3" t="s">
        <v>131</v>
      </c>
      <c r="C71" s="1" t="s">
        <v>132</v>
      </c>
      <c r="D71" s="2">
        <v>700</v>
      </c>
      <c r="E71" t="s">
        <v>73</v>
      </c>
    </row>
    <row r="72" spans="1:5" x14ac:dyDescent="0.3">
      <c r="A72" s="18" t="s">
        <v>71</v>
      </c>
      <c r="B72" s="3" t="s">
        <v>133</v>
      </c>
      <c r="C72" s="1" t="s">
        <v>134</v>
      </c>
      <c r="D72" s="2">
        <v>350</v>
      </c>
      <c r="E72" t="s">
        <v>73</v>
      </c>
    </row>
    <row r="73" spans="1:5" x14ac:dyDescent="0.3">
      <c r="B73" s="3"/>
      <c r="C73" s="1"/>
      <c r="D73" s="2"/>
    </row>
    <row r="74" spans="1:5" x14ac:dyDescent="0.3">
      <c r="A74" t="s">
        <v>135</v>
      </c>
      <c r="B74" s="4" t="s">
        <v>136</v>
      </c>
    </row>
    <row r="75" spans="1:5" x14ac:dyDescent="0.3">
      <c r="A75" t="s">
        <v>135</v>
      </c>
      <c r="B75" s="8" t="s">
        <v>137</v>
      </c>
    </row>
    <row r="76" spans="1:5" x14ac:dyDescent="0.3">
      <c r="A76" t="s">
        <v>135</v>
      </c>
      <c r="B76" s="3" t="s">
        <v>138</v>
      </c>
    </row>
    <row r="77" spans="1:5" x14ac:dyDescent="0.3">
      <c r="A77" t="s">
        <v>135</v>
      </c>
      <c r="B77" s="3" t="s">
        <v>139</v>
      </c>
    </row>
    <row r="78" spans="1:5" x14ac:dyDescent="0.3">
      <c r="A78" t="s">
        <v>135</v>
      </c>
      <c r="B78" s="3" t="s">
        <v>140</v>
      </c>
    </row>
    <row r="79" spans="1:5" x14ac:dyDescent="0.3">
      <c r="A79" t="s">
        <v>135</v>
      </c>
      <c r="B79" s="3" t="s">
        <v>141</v>
      </c>
    </row>
    <row r="80" spans="1:5" x14ac:dyDescent="0.3">
      <c r="A80" t="s">
        <v>135</v>
      </c>
      <c r="B80" s="3" t="s">
        <v>142</v>
      </c>
    </row>
    <row r="82" spans="1:4" x14ac:dyDescent="0.3">
      <c r="A82" t="s">
        <v>143</v>
      </c>
      <c r="B82" s="7" t="s">
        <v>144</v>
      </c>
      <c r="C82" s="5" t="s">
        <v>132</v>
      </c>
      <c r="D82" s="6">
        <f>691+71</f>
        <v>762</v>
      </c>
    </row>
  </sheetData>
  <sortState xmlns:xlrd2="http://schemas.microsoft.com/office/spreadsheetml/2017/richdata2" ref="A2:D72">
    <sortCondition ref="C72"/>
  </sortState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1F96-956F-4EB3-97AA-A1D9475BEE94}">
  <dimension ref="A1:AK10"/>
  <sheetViews>
    <sheetView workbookViewId="0">
      <selection activeCell="C10" sqref="C10"/>
    </sheetView>
  </sheetViews>
  <sheetFormatPr defaultColWidth="8.88671875" defaultRowHeight="14.4" x14ac:dyDescent="0.3"/>
  <cols>
    <col min="1" max="1" width="11" bestFit="1" customWidth="1"/>
    <col min="2" max="2" width="29.6640625" bestFit="1" customWidth="1"/>
    <col min="3" max="3" width="10.44140625" bestFit="1" customWidth="1"/>
    <col min="4" max="4" width="7.44140625" bestFit="1" customWidth="1"/>
    <col min="5" max="5" width="10" bestFit="1" customWidth="1"/>
    <col min="6" max="6" width="26.33203125" bestFit="1" customWidth="1"/>
    <col min="7" max="7" width="13.88671875" bestFit="1" customWidth="1"/>
    <col min="8" max="8" width="10.44140625" bestFit="1" customWidth="1"/>
    <col min="9" max="9" width="20.44140625" bestFit="1" customWidth="1"/>
    <col min="10" max="10" width="9.88671875" bestFit="1" customWidth="1"/>
    <col min="11" max="11" width="8.44140625" bestFit="1" customWidth="1"/>
    <col min="12" max="12" width="6.109375" bestFit="1" customWidth="1"/>
    <col min="13" max="13" width="13" bestFit="1" customWidth="1"/>
    <col min="14" max="14" width="14.6640625" bestFit="1" customWidth="1"/>
    <col min="15" max="15" width="15" bestFit="1" customWidth="1"/>
    <col min="16" max="16" width="30.6640625" bestFit="1" customWidth="1"/>
    <col min="17" max="17" width="17" bestFit="1" customWidth="1"/>
    <col min="18" max="18" width="20.109375" bestFit="1" customWidth="1"/>
    <col min="19" max="19" width="16.88671875" bestFit="1" customWidth="1"/>
    <col min="20" max="20" width="9" bestFit="1" customWidth="1"/>
    <col min="21" max="21" width="10.33203125" bestFit="1" customWidth="1"/>
    <col min="22" max="22" width="8.33203125" bestFit="1" customWidth="1"/>
    <col min="23" max="23" width="6" bestFit="1" customWidth="1"/>
    <col min="24" max="24" width="13" bestFit="1" customWidth="1"/>
    <col min="25" max="25" width="20.33203125" bestFit="1" customWidth="1"/>
    <col min="26" max="26" width="14.109375" bestFit="1" customWidth="1"/>
    <col min="27" max="27" width="10.109375" bestFit="1" customWidth="1"/>
    <col min="28" max="28" width="37.33203125" bestFit="1" customWidth="1"/>
    <col min="29" max="29" width="12" bestFit="1" customWidth="1"/>
    <col min="30" max="30" width="9.6640625" bestFit="1" customWidth="1"/>
    <col min="31" max="31" width="26" bestFit="1" customWidth="1"/>
    <col min="32" max="32" width="28.6640625" bestFit="1" customWidth="1"/>
    <col min="33" max="33" width="21" bestFit="1" customWidth="1"/>
    <col min="34" max="34" width="9.33203125" bestFit="1" customWidth="1"/>
    <col min="35" max="35" width="63.109375" bestFit="1" customWidth="1"/>
    <col min="36" max="36" width="13.109375" bestFit="1" customWidth="1"/>
    <col min="37" max="37" width="13.6640625" bestFit="1" customWidth="1"/>
  </cols>
  <sheetData>
    <row r="1" spans="1:37" x14ac:dyDescent="0.3">
      <c r="A1" s="17" t="s">
        <v>145</v>
      </c>
      <c r="B1" s="17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9" t="s">
        <v>152</v>
      </c>
      <c r="I1" s="9" t="s">
        <v>153</v>
      </c>
      <c r="J1" s="9" t="s">
        <v>154</v>
      </c>
      <c r="K1" s="9" t="s">
        <v>155</v>
      </c>
      <c r="L1" s="9" t="s">
        <v>156</v>
      </c>
      <c r="M1" s="9" t="s">
        <v>157</v>
      </c>
      <c r="N1" s="9" t="s">
        <v>158</v>
      </c>
      <c r="O1" s="9" t="s">
        <v>159</v>
      </c>
      <c r="P1" s="9" t="s">
        <v>160</v>
      </c>
      <c r="Q1" s="9" t="s">
        <v>161</v>
      </c>
      <c r="R1" s="9" t="s">
        <v>162</v>
      </c>
      <c r="S1" s="9" t="s">
        <v>163</v>
      </c>
      <c r="T1" s="9" t="s">
        <v>164</v>
      </c>
      <c r="U1" s="9" t="s">
        <v>165</v>
      </c>
      <c r="V1" s="9" t="s">
        <v>166</v>
      </c>
      <c r="W1" s="9" t="s">
        <v>167</v>
      </c>
      <c r="X1" s="9" t="s">
        <v>168</v>
      </c>
      <c r="Y1" s="9" t="s">
        <v>169</v>
      </c>
      <c r="Z1" s="9" t="s">
        <v>170</v>
      </c>
      <c r="AA1" s="9" t="s">
        <v>171</v>
      </c>
      <c r="AB1" s="9" t="s">
        <v>172</v>
      </c>
      <c r="AC1" s="9" t="s">
        <v>173</v>
      </c>
      <c r="AD1" s="9" t="s">
        <v>174</v>
      </c>
      <c r="AE1" s="9" t="s">
        <v>175</v>
      </c>
      <c r="AF1" s="9" t="s">
        <v>176</v>
      </c>
      <c r="AG1" s="9" t="s">
        <v>177</v>
      </c>
      <c r="AH1" s="9" t="s">
        <v>178</v>
      </c>
      <c r="AI1" s="9" t="s">
        <v>179</v>
      </c>
      <c r="AJ1" s="9" t="s">
        <v>180</v>
      </c>
      <c r="AK1" s="9" t="s">
        <v>181</v>
      </c>
    </row>
    <row r="2" spans="1:37" x14ac:dyDescent="0.3">
      <c r="A2" t="s">
        <v>182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132</v>
      </c>
      <c r="K2" t="s">
        <v>191</v>
      </c>
      <c r="L2">
        <v>5363</v>
      </c>
      <c r="M2" t="s">
        <v>192</v>
      </c>
      <c r="N2" t="s">
        <v>193</v>
      </c>
      <c r="O2" t="s">
        <v>194</v>
      </c>
      <c r="P2" t="s">
        <v>195</v>
      </c>
      <c r="Q2" t="s">
        <v>196</v>
      </c>
      <c r="R2" t="s">
        <v>197</v>
      </c>
      <c r="S2" t="s">
        <v>198</v>
      </c>
      <c r="U2" t="s">
        <v>132</v>
      </c>
      <c r="V2" t="s">
        <v>191</v>
      </c>
      <c r="W2">
        <v>5363</v>
      </c>
      <c r="X2" t="s">
        <v>192</v>
      </c>
      <c r="Z2" t="s">
        <v>199</v>
      </c>
      <c r="AA2">
        <v>2.8000000000000001E-2</v>
      </c>
      <c r="AB2" t="s">
        <v>200</v>
      </c>
      <c r="AC2" t="s">
        <v>189</v>
      </c>
      <c r="AD2" t="s">
        <v>201</v>
      </c>
      <c r="AE2" s="10"/>
      <c r="AF2" s="10"/>
      <c r="AH2" s="10"/>
      <c r="AI2" s="10"/>
      <c r="AJ2" s="10"/>
      <c r="AK2" s="10"/>
    </row>
    <row r="3" spans="1:37" x14ac:dyDescent="0.3">
      <c r="A3" t="s">
        <v>182</v>
      </c>
      <c r="B3" t="s">
        <v>202</v>
      </c>
      <c r="C3" t="s">
        <v>184</v>
      </c>
      <c r="D3" t="s">
        <v>203</v>
      </c>
      <c r="E3" t="s">
        <v>204</v>
      </c>
      <c r="F3" t="s">
        <v>205</v>
      </c>
      <c r="G3" t="s">
        <v>206</v>
      </c>
      <c r="H3" t="s">
        <v>189</v>
      </c>
      <c r="I3" t="s">
        <v>207</v>
      </c>
      <c r="J3" t="s">
        <v>208</v>
      </c>
      <c r="K3" t="s">
        <v>191</v>
      </c>
      <c r="L3">
        <v>5851</v>
      </c>
      <c r="M3" t="s">
        <v>209</v>
      </c>
      <c r="N3" t="s">
        <v>210</v>
      </c>
      <c r="O3" t="s">
        <v>194</v>
      </c>
      <c r="P3" t="s">
        <v>211</v>
      </c>
      <c r="Q3" t="s">
        <v>212</v>
      </c>
      <c r="R3" t="s">
        <v>213</v>
      </c>
      <c r="S3" t="s">
        <v>214</v>
      </c>
      <c r="U3" t="s">
        <v>215</v>
      </c>
      <c r="V3" t="s">
        <v>191</v>
      </c>
      <c r="W3">
        <v>5904</v>
      </c>
      <c r="X3" t="s">
        <v>216</v>
      </c>
      <c r="Y3" t="s">
        <v>217</v>
      </c>
      <c r="Z3" t="s">
        <v>218</v>
      </c>
      <c r="AA3">
        <v>7.5999999999999998E-2</v>
      </c>
      <c r="AB3" t="s">
        <v>200</v>
      </c>
      <c r="AC3" t="s">
        <v>189</v>
      </c>
      <c r="AD3" t="s">
        <v>201</v>
      </c>
      <c r="AE3" s="11" t="s">
        <v>219</v>
      </c>
      <c r="AF3" s="11" t="s">
        <v>220</v>
      </c>
      <c r="AG3" s="10"/>
      <c r="AH3" s="12">
        <v>0</v>
      </c>
      <c r="AI3" s="11" t="s">
        <v>220</v>
      </c>
      <c r="AJ3" s="11" t="s">
        <v>221</v>
      </c>
      <c r="AK3" s="10"/>
    </row>
    <row r="4" spans="1:37" ht="28.8" x14ac:dyDescent="0.3">
      <c r="A4" t="s">
        <v>222</v>
      </c>
      <c r="B4" t="s">
        <v>221</v>
      </c>
      <c r="C4" t="s">
        <v>223</v>
      </c>
      <c r="D4" t="s">
        <v>224</v>
      </c>
      <c r="F4" t="s">
        <v>225</v>
      </c>
      <c r="G4" t="s">
        <v>226</v>
      </c>
      <c r="H4" t="s">
        <v>189</v>
      </c>
      <c r="P4" t="s">
        <v>227</v>
      </c>
      <c r="Q4" t="s">
        <v>228</v>
      </c>
      <c r="S4" t="s">
        <v>229</v>
      </c>
      <c r="U4" t="s">
        <v>230</v>
      </c>
      <c r="V4" t="s">
        <v>191</v>
      </c>
      <c r="W4">
        <v>5356</v>
      </c>
      <c r="AE4" s="13" t="s">
        <v>231</v>
      </c>
      <c r="AF4" s="13" t="s">
        <v>232</v>
      </c>
      <c r="AG4" s="14">
        <v>1845</v>
      </c>
      <c r="AH4" s="14">
        <v>0</v>
      </c>
      <c r="AI4" s="13" t="s">
        <v>220</v>
      </c>
      <c r="AJ4" s="13" t="s">
        <v>222</v>
      </c>
      <c r="AK4" s="14">
        <v>1504</v>
      </c>
    </row>
    <row r="5" spans="1:37" x14ac:dyDescent="0.3">
      <c r="A5" t="s">
        <v>182</v>
      </c>
      <c r="B5" t="s">
        <v>233</v>
      </c>
      <c r="C5" t="s">
        <v>184</v>
      </c>
      <c r="D5" t="s">
        <v>234</v>
      </c>
      <c r="E5" t="s">
        <v>235</v>
      </c>
      <c r="F5" t="s">
        <v>95</v>
      </c>
      <c r="G5" t="s">
        <v>236</v>
      </c>
      <c r="H5" t="s">
        <v>189</v>
      </c>
      <c r="K5" t="s">
        <v>191</v>
      </c>
      <c r="N5" t="s">
        <v>237</v>
      </c>
      <c r="O5" t="s">
        <v>194</v>
      </c>
      <c r="P5" t="s">
        <v>238</v>
      </c>
      <c r="Q5" t="s">
        <v>239</v>
      </c>
      <c r="S5" t="s">
        <v>240</v>
      </c>
      <c r="U5" t="s">
        <v>241</v>
      </c>
      <c r="V5" t="s">
        <v>191</v>
      </c>
      <c r="W5">
        <v>5042</v>
      </c>
      <c r="X5" t="s">
        <v>242</v>
      </c>
      <c r="Y5" t="s">
        <v>243</v>
      </c>
      <c r="Z5" t="s">
        <v>218</v>
      </c>
      <c r="AA5">
        <v>1.03E-2</v>
      </c>
      <c r="AB5" t="s">
        <v>244</v>
      </c>
      <c r="AC5" t="s">
        <v>189</v>
      </c>
      <c r="AD5" t="s">
        <v>201</v>
      </c>
    </row>
    <row r="6" spans="1:37" x14ac:dyDescent="0.3">
      <c r="A6" t="s">
        <v>222</v>
      </c>
      <c r="B6" t="s">
        <v>221</v>
      </c>
      <c r="C6" t="s">
        <v>184</v>
      </c>
      <c r="D6" t="s">
        <v>245</v>
      </c>
      <c r="E6" t="s">
        <v>246</v>
      </c>
      <c r="F6" t="s">
        <v>247</v>
      </c>
      <c r="G6" t="s">
        <v>248</v>
      </c>
      <c r="H6" t="s">
        <v>189</v>
      </c>
      <c r="I6" t="s">
        <v>249</v>
      </c>
      <c r="J6" t="s">
        <v>250</v>
      </c>
      <c r="K6" t="s">
        <v>191</v>
      </c>
      <c r="L6">
        <v>5751</v>
      </c>
      <c r="M6" t="s">
        <v>251</v>
      </c>
      <c r="N6" t="s">
        <v>252</v>
      </c>
      <c r="O6" t="s">
        <v>194</v>
      </c>
      <c r="P6" t="s">
        <v>253</v>
      </c>
      <c r="Q6" t="s">
        <v>254</v>
      </c>
      <c r="R6" t="s">
        <v>255</v>
      </c>
      <c r="S6" t="s">
        <v>249</v>
      </c>
      <c r="U6" t="s">
        <v>250</v>
      </c>
      <c r="V6" t="s">
        <v>191</v>
      </c>
      <c r="W6">
        <v>5751</v>
      </c>
      <c r="X6" t="s">
        <v>256</v>
      </c>
      <c r="Y6" t="s">
        <v>257</v>
      </c>
      <c r="Z6" t="s">
        <v>199</v>
      </c>
      <c r="AA6">
        <v>0.6</v>
      </c>
      <c r="AB6" t="s">
        <v>258</v>
      </c>
      <c r="AC6" t="s">
        <v>189</v>
      </c>
      <c r="AD6" t="s">
        <v>201</v>
      </c>
      <c r="AE6" s="11" t="s">
        <v>259</v>
      </c>
      <c r="AF6" s="11" t="s">
        <v>232</v>
      </c>
      <c r="AG6" s="2">
        <v>780</v>
      </c>
      <c r="AH6" s="12">
        <v>1095</v>
      </c>
      <c r="AI6" s="11" t="s">
        <v>260</v>
      </c>
      <c r="AJ6" s="11" t="s">
        <v>221</v>
      </c>
      <c r="AK6" s="12">
        <v>3000</v>
      </c>
    </row>
    <row r="7" spans="1:37" x14ac:dyDescent="0.3">
      <c r="A7" t="s">
        <v>182</v>
      </c>
      <c r="B7" t="s">
        <v>183</v>
      </c>
      <c r="C7" t="s">
        <v>184</v>
      </c>
      <c r="D7" t="s">
        <v>261</v>
      </c>
      <c r="E7" t="s">
        <v>262</v>
      </c>
      <c r="F7" t="s">
        <v>263</v>
      </c>
      <c r="G7" t="s">
        <v>264</v>
      </c>
      <c r="H7" t="s">
        <v>189</v>
      </c>
      <c r="K7" t="s">
        <v>191</v>
      </c>
      <c r="N7" t="s">
        <v>265</v>
      </c>
      <c r="P7" t="s">
        <v>266</v>
      </c>
      <c r="Q7" t="s">
        <v>267</v>
      </c>
      <c r="S7" t="s">
        <v>268</v>
      </c>
      <c r="U7" t="s">
        <v>116</v>
      </c>
      <c r="V7" t="s">
        <v>191</v>
      </c>
      <c r="W7">
        <v>5773</v>
      </c>
      <c r="X7" t="s">
        <v>269</v>
      </c>
      <c r="Y7" t="s">
        <v>270</v>
      </c>
      <c r="Z7" t="s">
        <v>199</v>
      </c>
      <c r="AA7">
        <v>0.12</v>
      </c>
      <c r="AB7" t="s">
        <v>271</v>
      </c>
      <c r="AC7" t="s">
        <v>189</v>
      </c>
      <c r="AD7" t="s">
        <v>201</v>
      </c>
      <c r="AE7" s="10"/>
      <c r="AF7" s="10"/>
      <c r="AH7" s="10"/>
      <c r="AI7" s="10"/>
      <c r="AJ7" s="10"/>
      <c r="AK7" s="10"/>
    </row>
    <row r="8" spans="1:37" x14ac:dyDescent="0.3">
      <c r="A8" t="s">
        <v>182</v>
      </c>
      <c r="B8" t="s">
        <v>183</v>
      </c>
      <c r="C8" t="s">
        <v>223</v>
      </c>
      <c r="D8" t="s">
        <v>272</v>
      </c>
      <c r="F8" t="s">
        <v>273</v>
      </c>
      <c r="G8" t="s">
        <v>274</v>
      </c>
      <c r="H8" t="s">
        <v>189</v>
      </c>
      <c r="P8" t="s">
        <v>275</v>
      </c>
      <c r="Q8" t="s">
        <v>276</v>
      </c>
      <c r="S8" t="s">
        <v>277</v>
      </c>
      <c r="U8" t="s">
        <v>274</v>
      </c>
      <c r="V8" t="s">
        <v>191</v>
      </c>
      <c r="W8">
        <v>5494</v>
      </c>
    </row>
    <row r="9" spans="1:37" ht="28.8" x14ac:dyDescent="0.3">
      <c r="A9" t="s">
        <v>182</v>
      </c>
      <c r="B9" t="s">
        <v>183</v>
      </c>
      <c r="C9" t="s">
        <v>223</v>
      </c>
      <c r="D9" t="s">
        <v>278</v>
      </c>
      <c r="F9" t="s">
        <v>279</v>
      </c>
      <c r="G9" t="s">
        <v>280</v>
      </c>
      <c r="H9" t="s">
        <v>189</v>
      </c>
      <c r="P9" t="s">
        <v>281</v>
      </c>
      <c r="Q9" t="s">
        <v>282</v>
      </c>
      <c r="S9" t="s">
        <v>283</v>
      </c>
      <c r="U9" t="s">
        <v>284</v>
      </c>
      <c r="V9" t="s">
        <v>191</v>
      </c>
      <c r="W9">
        <v>5155</v>
      </c>
      <c r="AE9" s="15" t="s">
        <v>285</v>
      </c>
      <c r="AF9" s="15" t="s">
        <v>232</v>
      </c>
      <c r="AG9" s="10"/>
      <c r="AH9" s="16">
        <v>136</v>
      </c>
      <c r="AI9" s="15" t="s">
        <v>220</v>
      </c>
      <c r="AJ9" s="15" t="s">
        <v>221</v>
      </c>
      <c r="AK9" s="10"/>
    </row>
    <row r="10" spans="1:37" x14ac:dyDescent="0.3">
      <c r="A10" t="s">
        <v>182</v>
      </c>
      <c r="B10" t="s">
        <v>286</v>
      </c>
      <c r="C10" t="s">
        <v>184</v>
      </c>
      <c r="D10" t="s">
        <v>287</v>
      </c>
      <c r="E10" t="s">
        <v>288</v>
      </c>
      <c r="F10" t="s">
        <v>289</v>
      </c>
      <c r="G10" t="s">
        <v>134</v>
      </c>
      <c r="H10" t="s">
        <v>189</v>
      </c>
      <c r="K10" t="s">
        <v>191</v>
      </c>
      <c r="Q10" t="s">
        <v>290</v>
      </c>
      <c r="R10" t="s">
        <v>291</v>
      </c>
      <c r="S10" t="s">
        <v>292</v>
      </c>
      <c r="U10" t="s">
        <v>134</v>
      </c>
      <c r="V10" t="s">
        <v>191</v>
      </c>
      <c r="W10">
        <v>5682</v>
      </c>
      <c r="X10" t="s">
        <v>293</v>
      </c>
      <c r="Z10" t="s">
        <v>294</v>
      </c>
      <c r="AA10">
        <v>2.5000000000000001E-3</v>
      </c>
      <c r="AB10" t="s">
        <v>295</v>
      </c>
      <c r="AC10" t="s">
        <v>189</v>
      </c>
      <c r="AD10" t="s">
        <v>296</v>
      </c>
    </row>
  </sheetData>
  <printOptions gridLines="1"/>
  <pageMargins left="0.2" right="0.2" top="0.25" bottom="0.2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F8A3BCD25E34A9BBCA0E6B60E8373" ma:contentTypeVersion="3" ma:contentTypeDescription="Create a new document." ma:contentTypeScope="" ma:versionID="1b083fffa81f956dccc29e3be7b12c15">
  <xsd:schema xmlns:xsd="http://www.w3.org/2001/XMLSchema" xmlns:xs="http://www.w3.org/2001/XMLSchema" xmlns:p="http://schemas.microsoft.com/office/2006/metadata/properties" xmlns:ns2="b6d05682-2b03-43c2-ae86-813b2a3bbea4" targetNamespace="http://schemas.microsoft.com/office/2006/metadata/properties" ma:root="true" ma:fieldsID="512b1d4f46182cc6cb83de61aaf93d16" ns2:_="">
    <xsd:import namespace="b6d05682-2b03-43c2-ae86-813b2a3bb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05682-2b03-43c2-ae86-813b2a3bb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1B1675-F544-4DB9-B433-594C26CB4B36}"/>
</file>

<file path=customXml/itemProps2.xml><?xml version="1.0" encoding="utf-8"?>
<ds:datastoreItem xmlns:ds="http://schemas.openxmlformats.org/officeDocument/2006/customXml" ds:itemID="{44453DE3-3B20-4986-81C4-6E7D21129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1E6056-C45A-4908-9842-9F353A88077C}">
  <ds:schemaRefs>
    <ds:schemaRef ds:uri="http://schemas.microsoft.com/office/2006/metadata/properties"/>
    <ds:schemaRef ds:uri="http://schemas.microsoft.com/office/infopath/2007/PartnerControls"/>
    <ds:schemaRef ds:uri="cc2f29d6-bea5-48c0-a7dd-9e9e0828084c"/>
    <ds:schemaRef ds:uri="77ce7a90-9344-4eec-9e7f-68f0e2b278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</vt:lpstr>
      <vt:lpstr>WW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 Boyk</dc:creator>
  <cp:keywords/>
  <dc:description/>
  <cp:lastModifiedBy>Danelle Birong</cp:lastModifiedBy>
  <cp:revision/>
  <dcterms:created xsi:type="dcterms:W3CDTF">2025-09-15T17:34:47Z</dcterms:created>
  <dcterms:modified xsi:type="dcterms:W3CDTF">2025-11-12T20:04:06Z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0x0101004B3F8A3BCD25E34A9BBCA0E6B60E8373</vt:lpwstr>
  </property>
  <property fmtid="{D5CDD505-2E9C-101B-9397-08002B2CF9AE}" pid="3" name="Order">
    <vt:r8>1400</vt:r8>
  </property>
  <property fmtid="{D5CDD505-2E9C-101B-9397-08002B2CF9AE}" pid="4" name="MediaServiceImageTags">
    <vt:lpwstr/>
  </property>
</Properties>
</file>